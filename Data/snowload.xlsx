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dArmstrong\Downloads\"/>
    </mc:Choice>
  </mc:AlternateContent>
  <xr:revisionPtr revIDLastSave="0" documentId="13_ncr:1_{0B20CA32-2D9A-468A-91DC-3011CAF35560}" xr6:coauthVersionLast="47" xr6:coauthVersionMax="47" xr10:uidLastSave="{00000000-0000-0000-0000-000000000000}"/>
  <bookViews>
    <workbookView xWindow="-34800" yWindow="-1500" windowWidth="21600" windowHeight="12645" xr2:uid="{DDAF3D7A-5DFF-4279-A1E4-C91B792BABC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D5" i="1"/>
  <c r="C5" i="1"/>
  <c r="C5" i="1" a="1"/>
  <c r="B5" i="1"/>
  <c r="B5" i="1" a="1"/>
  <c r="E4" i="1"/>
  <c r="D4" i="1"/>
  <c r="C4" i="1" a="1"/>
  <c r="C4" i="1" s="1"/>
  <c r="B4" i="1" a="1"/>
  <c r="B4" i="1" s="1"/>
  <c r="E3" i="1"/>
  <c r="D3" i="1"/>
  <c r="C3" i="1" a="1"/>
  <c r="C3" i="1" s="1"/>
  <c r="E2" i="1"/>
  <c r="D2" i="1"/>
  <c r="C2" i="1" a="1"/>
  <c r="C2" i="1" s="1"/>
  <c r="B2" i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<sst xmlns="http://schemas.openxmlformats.org/spreadsheetml/2006/main" count="9" uniqueCount="9">
  <si>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BoundaryMinLatitude</t>
  </si>
  <si>
    <t>BoundaryMaxLatitude</t>
  </si>
  <si>
    <t>BoundaryMinLongitude</t>
  </si>
  <si>
    <t>BoundaryMaxLongitude</t>
  </si>
  <si>
    <t>Snow_Load</t>
  </si>
  <si>
    <t>AN</t>
  </si>
  <si>
    <t>AC</t>
  </si>
  <si>
    <t>AS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</si>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</sst>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4" borderId="3" xfId="0" applyFont="1" applyFill="1" applyBorder="1"/>
    <xf numFmtId="0" fontId="0" fillId="3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dArmstrong\Downloads\AuspostGeocodedPostcodes%20Simple%20SnowLoad%20Check%20V8.xlsx" TargetMode="External"/><Relationship Id="rId1" Type="http://schemas.openxmlformats.org/officeDocument/2006/relationships/externalLinkPath" Target="AuspostGeocodedPostcodes%20Simple%20SnowLoad%20Check%20V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spostGeocodedPostcodes"/>
      <sheetName val="Snowload_Basic"/>
      <sheetName val="Sheet1"/>
      <sheetName val="SnowLoad_Advance"/>
      <sheetName val="Snow_Load_ALL"/>
      <sheetName val="Snow_Load_ALL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3763-159C-4BFC-A2C5-70A8D28D6C61}">
  <dimension ref="A1:E5"/>
  <sheetViews>
    <sheetView tabSelected="1" zoomScale="114" workbookViewId="0">
      <selection activeCell="J10" sqref="J10"/>
    </sheetView>
  </sheetViews>
  <sheetFormatPr defaultRowHeight="15" x14ac:dyDescent="0.25"/>
  <sheetData>
    <row r="1" spans="1:5" x14ac:dyDescent="0.25">
      <c r="A1" s="7" t="s">
        <v>4</v>
      </c>
      <c r="B1" s="1" t="s">
        <v>0</v>
      </c>
      <c r="C1" s="1" t="s">
        <v>1</v>
      </c>
      <c r="D1" s="1" t="s">
        <v>2</v>
      </c>
      <c r="E1" s="2" t="s">
        <v>3</v>
      </c>
    </row>
    <row r="2" spans="1:5" x14ac:dyDescent="0.25">
      <c r="A2" s="8" t="s">
        <v>5</v>
      </c>
      <c r="B2" cm="1">
        <f t="array" ref="B2">IF(
    ISNA(
        MATCH(
            1,
            (ROUND([1]!SnowloadCheckExclusion[[#This Row],[MinLatitude]] - ([1]!SnowloadCheckExclusion[[#This Row],[KmBoundary]] / 111.32), 4) &gt;= [1]!SnowloadCheckExclusion[MinLatitude]) *
            (ROUND([1]!SnowloadCheckExclusion[[#This Row],[MinLatitude]] - ([1]!SnowloadCheckExclusion[[#This Row],[KmBoundary]] / 111.32), 4) &lt;= [1]!SnowloadCheckExclusion[MaxLatitude]),
            0
        )
    ),
    ROUND([1]!SnowloadCheckExclusion[[#This Row],[MinLatitude]] - ([1]!SnowloadCheckExclusion[[#This Row],[KmBoundary]] / 111.32), 4),
    ROUND(
        INDEX(
            [1]!SnowloadCheckExclusion[MaxLatitude],
            MATCH(
                1,
                (ROUND([1]!SnowloadCheckExclusion[[#This Row],[MinLatitude]] - ([1]!SnowloadCheckExclusion[[#This Row],[KmBoundary]] / 111.32), 4) &gt;= [1]!SnowloadCheckExclusion[MinLatitude]) *
                (ROUND([1]!SnowloadCheckExclusion[[#This Row],[MinLatitude]] - ([1]!SnowloadCheckExclusion[[#This Row],[KmBoundary]] / 111.32), 4) &lt;= [1]!SnowloadCheckExclusion[MaxLatitude]),
                0
            )
        ) + 0.0001,
        4
    )
)</f>
        <v>-31.923500000000001</v>
      </c>
      <c r="C2" cm="1">
        <f t="array" ref="C2">IF(
    ISNA(
        MATCH(
            1,
            (ROUND([1]!SnowloadCheckExclusion[[#This Row],[MaxLatitude]]+ ([1]!SnowloadCheckExclusion[[#This Row],[KmBoundary]] / 111.32),4) &gt;= [1]!SnowloadCheckExclusion[MinLatitude]) *
            (ROUND([1]!SnowloadCheckExclusion[[#This Row],[MaxLatitude]]+ ([1]!SnowloadCheckExclusion[[#This Row],[KmBoundary]] / 111.32),4) &lt;= [1]!SnowloadCheckExclusion[MaxLatitude]),
            0
        )
    ),
    ROUND([1]!SnowloadCheckExclusion[[#This Row],[MaxLatitude]]+ ([1]!SnowloadCheckExclusion[[#This Row],[KmBoundary]] / 111.32),4),
    ROUND(
        INDEX(
            [1]!SnowloadCheckExclusion[MinLatitude],
            MATCH(
                1,
                (ROUND([1]!SnowloadCheckExclusion[[#This Row],[MaxLatitude]]+ ([1]!SnowloadCheckExclusion[[#This Row],[KmBoundary]] / 111.32),4) &gt;= [1]!SnowloadCheckExclusion[MinLatitude]) *
                (ROUND([1]!SnowloadCheckExclusion[[#This Row],[MaxLatitude]]+ ([1]!SnowloadCheckExclusion[[#This Row],[KmBoundary]] / 111.32),4) &lt;= [1]!SnowloadCheckExclusion[MaxLatitude]),
                0
            )
        ) + 0.0001,
        4
    )
)</f>
        <v>-28.032499999999999</v>
      </c>
      <c r="D2" s="3">
        <f>ROUND([1]!SnowloadCheckExclusion[[#This Row],[MinLongitude]] - ( [1]!SnowloadCheckExclusion[[#This Row],[KmBoundary]] / (111.32 * COS(RADIANS([1]!SnowloadCheckExclusion[[#This Row],[MinLatitude]]))) ),4)</f>
        <v>150.22200000000001</v>
      </c>
      <c r="E2" s="4">
        <f>ROUND([1]!SnowloadCheckExclusion[[#This Row],[MaxLongitude]] + ( [1]!SnowloadCheckExclusion[[#This Row],[KmBoundary]] / (111.32 * COS(RADIANS([1]!SnowloadCheckExclusion[[#This Row],[MaxLatitude]]))) ),4)</f>
        <v>152.82669999999999</v>
      </c>
    </row>
    <row r="3" spans="1:5" x14ac:dyDescent="0.25">
      <c r="A3" s="9" t="s">
        <v>6</v>
      </c>
      <c r="B3">
        <v>-34.155200000000001</v>
      </c>
      <c r="C3" cm="1">
        <f t="array" ref="C3">IF(
    ISNA(
        MATCH(
            1,
            (ROUND([1]!SnowloadCheckExclusion[[#This Row],[MaxLatitude]]+ ([1]!SnowloadCheckExclusion[[#This Row],[KmBoundary]] / 111.32),4) &gt;= [1]!SnowloadCheckExclusion[MinLatitude]) *
            (ROUND([1]!SnowloadCheckExclusion[[#This Row],[MaxLatitude]]+ ([1]!SnowloadCheckExclusion[[#This Row],[KmBoundary]] / 111.32),4) &lt;= [1]!SnowloadCheckExclusion[MaxLatitude]),
            0
        )
    ),
    ROUND([1]!SnowloadCheckExclusion[[#This Row],[MaxLatitude]]+ ([1]!SnowloadCheckExclusion[[#This Row],[KmBoundary]] / 111.32),4),
    ROUND(
        INDEX(
            [1]!SnowloadCheckExclusion[MinLatitude],
            MATCH(
                1,
                (ROUND([1]!SnowloadCheckExclusion[[#This Row],[MaxLatitude]]+ ([1]!SnowloadCheckExclusion[[#This Row],[KmBoundary]] / 111.32),4) &gt;= [1]!SnowloadCheckExclusion[MinLatitude]) *
                (ROUND([1]!SnowloadCheckExclusion[[#This Row],[MaxLatitude]]+ ([1]!SnowloadCheckExclusion[[#This Row],[KmBoundary]] / 111.32),4) &lt;= [1]!SnowloadCheckExclusion[MaxLatitude]),
                0
            )
        ) + 0.0001,
        4
    )
)</f>
        <v>-32.0732</v>
      </c>
      <c r="D3" s="5">
        <f>ROUND([1]!SnowloadCheckExclusion[[#This Row],[MinLongitude]] - ( [1]!SnowloadCheckExclusion[[#This Row],[KmBoundary]] / (111.32 * COS(RADIANS([1]!SnowloadCheckExclusion[[#This Row],[MinLatitude]]))) ),4)</f>
        <v>147.86969999999999</v>
      </c>
      <c r="E3" s="6">
        <f>ROUND([1]!SnowloadCheckExclusion[[#This Row],[MaxLongitude]] + ( [1]!SnowloadCheckExclusion[[#This Row],[KmBoundary]] / (111.32 * COS(RADIANS([1]!SnowloadCheckExclusion[[#This Row],[MaxLatitude]]))) ),4)</f>
        <v>151.006</v>
      </c>
    </row>
    <row r="4" spans="1:5" x14ac:dyDescent="0.25">
      <c r="A4" s="8" t="s">
        <v>7</v>
      </c>
      <c r="B4" cm="1">
        <f t="array" ref="B4">IF(
    ISNA(
        MATCH(
            1,
            (ROUND([1]!SnowloadCheckExclusion[[#This Row],[MinLatitude]] - ([1]!SnowloadCheckExclusion[[#This Row],[KmBoundary]] / 111.32), 4) &gt;= [1]!SnowloadCheckExclusion[MinLatitude]) *
            (ROUND([1]!SnowloadCheckExclusion[[#This Row],[MinLatitude]] - ([1]!SnowloadCheckExclusion[[#This Row],[KmBoundary]] / 111.32), 4) &lt;= [1]!SnowloadCheckExclusion[MaxLatitude]),
            0
        )
    ),
    ROUND([1]!SnowloadCheckExclusion[[#This Row],[MinLatitude]] - ([1]!SnowloadCheckExclusion[[#This Row],[KmBoundary]] / 111.32), 4),
    ROUND(
        INDEX(
            [1]!SnowloadCheckExclusion[MaxLatitude],
            MATCH(
                1,
                (ROUND([1]!SnowloadCheckExclusion[[#This Row],[MinLatitude]] - ([1]!SnowloadCheckExclusion[[#This Row],[KmBoundary]] / 111.32), 4) &gt;= [1]!SnowloadCheckExclusion[MinLatitude]) *
                (ROUND([1]!SnowloadCheckExclusion[[#This Row],[MinLatitude]] - ([1]!SnowloadCheckExclusion[[#This Row],[KmBoundary]] / 111.32), 4) &lt;= [1]!SnowloadCheckExclusion[MaxLatitude]),
                0
            )
        ) + 0.0001,
        4
    )
)</f>
        <v>-38.862000000000002</v>
      </c>
      <c r="C4" cm="1">
        <f t="array" ref="C4">IF(
    ISNA(
        MATCH(
            1,
            (ROUND([1]!SnowloadCheckExclusion[[#This Row],[MaxLatitude]]+ ([1]!SnowloadCheckExclusion[[#This Row],[KmBoundary]] / 111.32),4) &gt;= [1]!SnowloadCheckExclusion[MinLatitude]) *
            (ROUND([1]!SnowloadCheckExclusion[[#This Row],[MaxLatitude]]+ ([1]!SnowloadCheckExclusion[[#This Row],[KmBoundary]] / 111.32),4) &lt;= [1]!SnowloadCheckExclusion[MaxLatitude]),
            0
        )
    ),
    ROUND([1]!SnowloadCheckExclusion[[#This Row],[MaxLatitude]]+ ([1]!SnowloadCheckExclusion[[#This Row],[KmBoundary]] / 111.32),4),
    ROUND(
        INDEX(
            [1]!SnowloadCheckExclusion[MinLatitude],
            MATCH(
                1,
                (ROUND([1]!SnowloadCheckExclusion[[#This Row],[MaxLatitude]]+ ([1]!SnowloadCheckExclusion[[#This Row],[KmBoundary]] / 111.32),4) &gt;= [1]!SnowloadCheckExclusion[MinLatitude]) *
                (ROUND([1]!SnowloadCheckExclusion[[#This Row],[MaxLatitude]]+ ([1]!SnowloadCheckExclusion[[#This Row],[KmBoundary]] / 111.32),4) &lt;= [1]!SnowloadCheckExclusion[MaxLatitude]),
                0
            )
        ) + 0.0001,
        4
    )
)</f>
        <v>-34.155200000000001</v>
      </c>
      <c r="D4" s="3">
        <f>ROUND([1]!SnowloadCheckExclusion[[#This Row],[MinLongitude]] - ( [1]!SnowloadCheckExclusion[[#This Row],[KmBoundary]] / (111.32 * COS(RADIANS([1]!SnowloadCheckExclusion[[#This Row],[MinLatitude]]))) ),4)</f>
        <v>142.63740000000001</v>
      </c>
      <c r="E4" s="4">
        <f>ROUND([1]!SnowloadCheckExclusion[[#This Row],[MaxLongitude]] + ( [1]!SnowloadCheckExclusion[[#This Row],[KmBoundary]] / (111.32 * COS(RADIANS([1]!SnowloadCheckExclusion[[#This Row],[MaxLatitude]]))) ),4)</f>
        <v>151.2739</v>
      </c>
    </row>
    <row r="5" spans="1:5" x14ac:dyDescent="0.25">
      <c r="A5" s="9" t="s">
        <v>8</v>
      </c>
      <c r="B5" cm="1">
        <f t="array" ref="B5">IF(
    ISNA(
        MATCH(
            1,
            (ROUND([1]!SnowloadCheckExclusion[[#This Row],[MinLatitude]] - ([1]!SnowloadCheckExclusion[[#This Row],[KmBoundary]] / 111.32), 4) &gt;= [1]!SnowloadCheckExclusion[MinLatitude]) *
            (ROUND([1]!SnowloadCheckExclusion[[#This Row],[MinLatitude]] - ([1]!SnowloadCheckExclusion[[#This Row],[KmBoundary]] / 111.32), 4) &lt;= [1]!SnowloadCheckExclusion[MaxLatitude]),
            0
        )
    ),
    ROUND([1]!SnowloadCheckExclusion[[#This Row],[MinLatitude]] - ([1]!SnowloadCheckExclusion[[#This Row],[KmBoundary]] / 111.32), 4),
    ROUND(
        INDEX(
            [1]!SnowloadCheckExclusion[MaxLatitude],
            MATCH(
                1,
                (ROUND([1]!SnowloadCheckExclusion[[#This Row],[MinLatitude]] - ([1]!SnowloadCheckExclusion[[#This Row],[KmBoundary]] / 111.32), 4) &gt;= [1]!SnowloadCheckExclusion[MinLatitude]) *
                (ROUND([1]!SnowloadCheckExclusion[[#This Row],[MinLatitude]] - ([1]!SnowloadCheckExclusion[[#This Row],[KmBoundary]] / 111.32), 4) &lt;= [1]!SnowloadCheckExclusion[MaxLatitude]),
                0
            )
        ) + 0.0001,
        4
    )
)</f>
        <v>-43.655500000000004</v>
      </c>
      <c r="C5" cm="1">
        <f t="array" ref="C5">IF(
    ISNA(
        MATCH(
            1,
            (ROUND([1]!SnowloadCheckExclusion[[#This Row],[MaxLatitude]]+ ([1]!SnowloadCheckExclusion[[#This Row],[KmBoundary]] / 111.32),4) &gt;= [1]!SnowloadCheckExclusion[MinLatitude]) *
            (ROUND([1]!SnowloadCheckExclusion[[#This Row],[MaxLatitude]]+ ([1]!SnowloadCheckExclusion[[#This Row],[KmBoundary]] / 111.32),4) &lt;= [1]!SnowloadCheckExclusion[MaxLatitude]),
            0
        )
    ),
    ROUND([1]!SnowloadCheckExclusion[[#This Row],[MaxLatitude]]+ ([1]!SnowloadCheckExclusion[[#This Row],[KmBoundary]] / 111.32),4),
    ROUND(
        INDEX(
            [1]!SnowloadCheckExclusion[MinLatitude],
            MATCH(
                1,
                (ROUND([1]!SnowloadCheckExclusion[[#This Row],[MaxLatitude]]+ ([1]!SnowloadCheckExclusion[[#This Row],[KmBoundary]] / 111.32),4) &gt;= [1]!SnowloadCheckExclusion[MinLatitude]) *
                (ROUND([1]!SnowloadCheckExclusion[[#This Row],[MaxLatitude]]+ ([1]!SnowloadCheckExclusion[[#This Row],[KmBoundary]] / 111.32),4) &lt;= [1]!SnowloadCheckExclusion[MaxLatitude]),
                0
            )
        ) + 0.0001,
        4
    )
)</f>
        <v>-40.692300000000003</v>
      </c>
      <c r="D5" s="5">
        <f>ROUND([1]!SnowloadCheckExclusion[[#This Row],[MinLongitude]] - ( [1]!SnowloadCheckExclusion[[#This Row],[KmBoundary]] / (111.32 * COS(RADIANS([1]!SnowloadCheckExclusion[[#This Row],[MinLatitude]]))) ),4)</f>
        <v>144.6206</v>
      </c>
      <c r="E5" s="6">
        <f>ROUND([1]!SnowloadCheckExclusion[[#This Row],[MaxLongitude]] + ( [1]!SnowloadCheckExclusion[[#This Row],[KmBoundary]] / (111.32 * COS(RADIANS([1]!SnowloadCheckExclusion[[#This Row],[MaxLatitude]]))) ),4)</f>
        <v>148.8075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  Armstrong</dc:creator>
  <cp:lastModifiedBy>Jed  Armstrong</cp:lastModifiedBy>
  <dcterms:created xsi:type="dcterms:W3CDTF">2026-03-09T23:42:31Z</dcterms:created>
  <dcterms:modified xsi:type="dcterms:W3CDTF">2026-03-09T23:58:11Z</dcterms:modified>
</cp:coreProperties>
</file>